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Legend-Key" sheetId="2" state="visible" r:id="rId4"/>
    <sheet name="Inputs" sheetId="3" state="visible" r:id="rId5"/>
    <sheet name="Forward" sheetId="4" state="visible" r:id="rId6"/>
    <sheet name="MoneyMarket" sheetId="5" state="visible" r:id="rId7"/>
    <sheet name="Options" sheetId="6" state="visible" r:id="rId8"/>
    <sheet name="Sensitivity" sheetId="7" state="visible" r:id="rId9"/>
    <sheet name="Notes-Assumptions" sheetId="8" state="visible" r:id="rId10"/>
  </sheets>
  <definedNames>
    <definedName function="false" hidden="false" name="BASIS_FC" vbProcedure="false">Inputs!$B$17</definedName>
    <definedName function="false" hidden="false" name="BASIS_USD" vbProcedure="false">Inputs!$B$16</definedName>
    <definedName function="false" hidden="false" name="DF_FC" vbProcedure="false">Inputs!$B$22</definedName>
    <definedName function="false" hidden="false" name="DF_USD" vbProcedure="false">Inputs!$B$21</definedName>
    <definedName function="false" hidden="false" name="F0_in" vbProcedure="false">Inputs!$B$6</definedName>
    <definedName function="false" hidden="false" name="FC_AMT" vbProcedure="false">Inputs!$B$4</definedName>
    <definedName function="false" hidden="false" name="FV_PREM_CALL" vbProcedure="false">Inputs!$B$24</definedName>
    <definedName function="false" hidden="false" name="FV_PREM_PUT" vbProcedure="false">Inputs!$B$23</definedName>
    <definedName function="false" hidden="false" name="K_CALL" vbProcedure="false">Inputs!$B$11</definedName>
    <definedName function="false" hidden="false" name="K_PUT" vbProcedure="false">Inputs!$B$10</definedName>
    <definedName function="false" hidden="false" name="PREM_CALL" vbProcedure="false">Inputs!$B$13</definedName>
    <definedName function="false" hidden="false" name="PREM_PUT" vbProcedure="false">Inputs!$B$12</definedName>
    <definedName function="false" hidden="false" name="R_FC" vbProcedure="false">Inputs!$B$8</definedName>
    <definedName function="false" hidden="false" name="R_USD" vbProcedure="false">Inputs!$B$7</definedName>
    <definedName function="false" hidden="false" name="S0_in" vbProcedure="false">Inputs!$B$5</definedName>
    <definedName function="false" hidden="false" name="STEP_FRAC" vbProcedure="false">Inputs!$B$18</definedName>
    <definedName function="false" hidden="false" name="T_DAYS" vbProcedure="false">Inputs!$B$9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<sst xmlns="http://schemas.openxmlformats.org/spreadsheetml/2006/main" count="184" uniqueCount="139">
  <si>
    <t xml:space="preserve">FX Transaction Hedge Model — Aerospace EUR Receivable</t>
  </si>
  <si>
    <t xml:space="preserve">Firm</t>
  </si>
  <si>
    <t xml:space="preserve">U.S. Aerospace Manufacturer</t>
  </si>
  <si>
    <t xml:space="preserve">Scenario</t>
  </si>
  <si>
    <t xml:space="preserve">aerospace</t>
  </si>
  <si>
    <t xml:space="preserve">Exposure</t>
  </si>
  <si>
    <t xml:space="preserve">EUR 20,000,000 receivable, 365-day settlement</t>
  </si>
  <si>
    <t xml:space="preserve">Author</t>
  </si>
  <si>
    <t xml:space="preserve">Kailani Phillips</t>
  </si>
  <si>
    <t xml:space="preserve">Role</t>
  </si>
  <si>
    <t xml:space="preserve">Treasury Analyst / FP&amp;A Analyst</t>
  </si>
  <si>
    <t xml:space="preserve">Audience</t>
  </si>
  <si>
    <t xml:space="preserve">CFO / Director of Treasury</t>
  </si>
  <si>
    <t xml:space="preserve">Date built</t>
  </si>
  <si>
    <t xml:space="preserve">2026-07-31</t>
  </si>
  <si>
    <t xml:space="preserve">Source spec</t>
  </si>
  <si>
    <t xml:space="preserve">docs/specs/2026-07-31-Phillips-aerospace-spec.md</t>
  </si>
  <si>
    <t xml:space="preserve">Data Provenance (placeholders — indicative, replaced with live data at Stage 4)</t>
  </si>
  <si>
    <t xml:space="preserve">Named range</t>
  </si>
  <si>
    <t xml:space="preserve">Value</t>
  </si>
  <si>
    <t xml:space="preserve">Source</t>
  </si>
  <si>
    <t xml:space="preserve">Access date</t>
  </si>
  <si>
    <t xml:space="preserve">S0_in</t>
  </si>
  <si>
    <t xml:space="preserve">1.1505</t>
  </si>
  <si>
    <t xml:space="preserve">Yahoo Finance / Investing.com, EURUSD spot</t>
  </si>
  <si>
    <t xml:space="preserve">F0_in</t>
  </si>
  <si>
    <t xml:space="preserve">1.0935</t>
  </si>
  <si>
    <t xml:space="preserve">Scenario-assigned indicative forward (course scenarios.md)</t>
  </si>
  <si>
    <t xml:space="preserve">2026-07-24</t>
  </si>
  <si>
    <t xml:space="preserve">R_USD</t>
  </si>
  <si>
    <t xml:space="preserve">3.63%</t>
  </si>
  <si>
    <t xml:space="preserve">Federal Reserve H.15, effective federal funds rate</t>
  </si>
  <si>
    <t xml:space="preserve">R_FC</t>
  </si>
  <si>
    <t xml:space="preserve">2.25%</t>
  </si>
  <si>
    <t xml:space="preserve">ECB deposit facility rate</t>
  </si>
  <si>
    <t xml:space="preserve">PREM_PUT / PREM_CALL</t>
  </si>
  <si>
    <t xml:space="preserve">$0.019 / $0.024</t>
  </si>
  <si>
    <t xml:space="preserve">Scenario-assigned indicative option premiums</t>
  </si>
  <si>
    <t xml:space="preserve">Note: F0_in was set independently of today's S0_in / R_USD / R_FC, so the parity check on the MoneyMarket tab shows a real, material gap in this draft — flagged, not hidden. See Notes &amp; Assumptions tab and the build audit note.</t>
  </si>
  <si>
    <t xml:space="preserve">Legend / Key</t>
  </si>
  <si>
    <t xml:space="preserve">Sample</t>
  </si>
  <si>
    <t xml:space="preserve">Inputs — Market data or contract terms an analyst may adjust (spot, rates, strikes, premia).</t>
  </si>
  <si>
    <t xml:space="preserve">Assumptions — Modeling conventions chosen by the analyst (day-count basis, grid step size).</t>
  </si>
  <si>
    <t xml:space="preserve">Formulas — Intermediate calculation cells — always formulas, never typed numbers.</t>
  </si>
  <si>
    <t xml:space="preserve">Outputs — Named summary results shown to the CFO (still formulas, highlighted as headline results).</t>
  </si>
  <si>
    <t xml:space="preserve">Inputs — Named-Range Contract</t>
  </si>
  <si>
    <t xml:space="preserve">Unit</t>
  </si>
  <si>
    <t xml:space="preserve">Category</t>
  </si>
  <si>
    <t xml:space="preserve">Source / Notes</t>
  </si>
  <si>
    <t xml:space="preserve">FC_AMT</t>
  </si>
  <si>
    <t xml:space="preserve">EUR</t>
  </si>
  <si>
    <t xml:space="preserve">Input</t>
  </si>
  <si>
    <t xml:space="preserve">Fixed by sales contract; unchanged at Stage 4</t>
  </si>
  <si>
    <t xml:space="preserve">USD/EUR</t>
  </si>
  <si>
    <t xml:space="preserve">Yahoo Finance/Bloomberg EURUSD spot at Stage-4 market close (indicative)</t>
  </si>
  <si>
    <t xml:space="preserve">Scenario-assigned; replaced with live 1Y outright forward at Stage 4 (indicative)</t>
  </si>
  <si>
    <t xml:space="preserve">Annual %</t>
  </si>
  <si>
    <t xml:space="preserve">Fed H.15 effective federal funds rate at Stage 4 (indicative)</t>
  </si>
  <si>
    <t xml:space="preserve">ECB deposit facility rate / EURIBOR equivalent at Stage 4 (indicative)</t>
  </si>
  <si>
    <t xml:space="preserve">T_DAYS</t>
  </si>
  <si>
    <t xml:space="preserve">Days</t>
  </si>
  <si>
    <t xml:space="preserve">Fixed by contract</t>
  </si>
  <si>
    <t xml:space="preserve">K_PUT</t>
  </si>
  <si>
    <t xml:space="preserve">Exactly at S0_in, no rounding (indicative; reset at Stage 4)</t>
  </si>
  <si>
    <t xml:space="preserve">K_CALL</t>
  </si>
  <si>
    <t xml:space="preserve">Retained for template symmetry — not used in this receivable-only build</t>
  </si>
  <si>
    <t xml:space="preserve">PREM_PUT</t>
  </si>
  <si>
    <t xml:space="preserve">USD</t>
  </si>
  <si>
    <t xml:space="preserve">Scenario-assigned; replaced with live options-desk quote at Stage 4 (indicative)</t>
  </si>
  <si>
    <t xml:space="preserve">PREM_CALL</t>
  </si>
  <si>
    <t xml:space="preserve">Modeling Conventions (assumptions)</t>
  </si>
  <si>
    <t xml:space="preserve">BASIS_USD</t>
  </si>
  <si>
    <t xml:space="preserve">Assumption</t>
  </si>
  <si>
    <t xml:space="preserve">ACT/360, standard USD money-market convention</t>
  </si>
  <si>
    <t xml:space="preserve">BASIS_FC</t>
  </si>
  <si>
    <t xml:space="preserve">ACT/365 per course convention (real EURIBOR is typically ACT/360 — flagged)</t>
  </si>
  <si>
    <t xml:space="preserve">STEP_FRAC</t>
  </si>
  <si>
    <t xml:space="preserve">%</t>
  </si>
  <si>
    <t xml:space="preserve">Sensitivity grid step size</t>
  </si>
  <si>
    <t xml:space="preserve">Derived Values</t>
  </si>
  <si>
    <t xml:space="preserve">DF_USD</t>
  </si>
  <si>
    <t xml:space="preserve">factor</t>
  </si>
  <si>
    <t xml:space="preserve">Formula</t>
  </si>
  <si>
    <t xml:space="preserve">USD accumulation factor to settlement</t>
  </si>
  <si>
    <t xml:space="preserve">DF_FC</t>
  </si>
  <si>
    <t xml:space="preserve">EUR accumulation factor to settlement</t>
  </si>
  <si>
    <t xml:space="preserve">FV_PREM_PUT</t>
  </si>
  <si>
    <t xml:space="preserve">Future value of put premium at settlement</t>
  </si>
  <si>
    <t xml:space="preserve">FV_PREM_CALL</t>
  </si>
  <si>
    <t xml:space="preserve">Future value of call premium (reference only, unused)</t>
  </si>
  <si>
    <t xml:space="preserve">Forward Hedge — Certainty Benchmark</t>
  </si>
  <si>
    <t xml:space="preserve">USD Proceeds (Forward)</t>
  </si>
  <si>
    <t xml:space="preserve">Locked at inception (FC_AMT × F0_in); invariant across the S_T sensitivity grid. This is the certainty benchmark the money-market and option hedges are measured against.</t>
  </si>
  <si>
    <t xml:space="preserve">Money-Market Hedge — Parity Check</t>
  </si>
  <si>
    <t xml:space="preserve">Step 1: Borrow FC_AMT / DF_FC euros today</t>
  </si>
  <si>
    <t xml:space="preserve">Step 2: Convert to USD at spot</t>
  </si>
  <si>
    <t xml:space="preserve">Step 3: Invest USD to maturity (USD_MM)</t>
  </si>
  <si>
    <t xml:space="preserve">Covered Interest Parity Check</t>
  </si>
  <si>
    <t xml:space="preserve">F_Implied = S0_in × DF_USD / DF_FC</t>
  </si>
  <si>
    <t xml:space="preserve">F0_in (quoted forward)</t>
  </si>
  <si>
    <t xml:space="preserve">Absolute rate difference</t>
  </si>
  <si>
    <t xml:space="preserve">Relative difference — USD_MM vs USD_FWD</t>
  </si>
  <si>
    <t xml:space="preserve">Parity check result (tolerance 0.05%)</t>
  </si>
  <si>
    <t xml:space="preserve">Expected result in this draft: FAIL. F0_in is a scenario-assigned placeholder set independently of the S0_in/R_USD/R_FC pulled today, so this gap is a known, documented data-consistency issue (see spec §4 and Notes &amp; Assumptions), not a formula defect. It must be re-verified once Stage 4 supplies mutually consistent, same-timestamp live data.</t>
  </si>
  <si>
    <t xml:space="preserve">Option Hedge — Put Floor (receivable)</t>
  </si>
  <si>
    <t xml:space="preserve">USD Proceeds — Put, at baseline S_T = S0_in</t>
  </si>
  <si>
    <t xml:space="preserve">USD Proceeds — Call, at baseline S_T = S0_in (reference only)</t>
  </si>
  <si>
    <t xml:space="preserve">The put is the primary hedge for this receivable: below K_PUT it pays the difference (floor holds); above it, the put expires worthless and proceeds track spot, net of the premium paid either way. The call is computed only for template symmetry with the payable mirror and is not part of the recommended hedge for this receivable scenario.</t>
  </si>
  <si>
    <t xml:space="preserve">Put Continuity Check (kink verification)</t>
  </si>
  <si>
    <t xml:space="preserve">Put payoff formula evaluated at S_T = K_PUT</t>
  </si>
  <si>
    <t xml:space="preserve">Expected value: K_PUT × FC_AMT + FV_PREM_PUT</t>
  </si>
  <si>
    <t xml:space="preserve">Match?</t>
  </si>
  <si>
    <t xml:space="preserve">Sensitivity — S_T from 0.95×S0_in to 1.05×S0_in, 1% steps</t>
  </si>
  <si>
    <t xml:space="preserve">Winner labels</t>
  </si>
  <si>
    <t xml:space="preserve">Active-hedge labels</t>
  </si>
  <si>
    <t xml:space="preserve">No Hedge</t>
  </si>
  <si>
    <t xml:space="preserve">Forward</t>
  </si>
  <si>
    <t xml:space="preserve">n</t>
  </si>
  <si>
    <t xml:space="preserve">S_T</t>
  </si>
  <si>
    <t xml:space="preserve">Money Market</t>
  </si>
  <si>
    <t xml:space="preserve">Option (Put)</t>
  </si>
  <si>
    <t xml:space="preserve">Option (Call, ref.)</t>
  </si>
  <si>
    <t xml:space="preserve">HP Forward</t>
  </si>
  <si>
    <t xml:space="preserve">HP MM</t>
  </si>
  <si>
    <t xml:space="preserve">HP Put</t>
  </si>
  <si>
    <t xml:space="preserve">Overall Winner</t>
  </si>
  <si>
    <t xml:space="preserve">Best Active Hedge</t>
  </si>
  <si>
    <t xml:space="preserve">Baseline row (n=0, S_T = S0_in) is row 9. Grid index n (-5..5) is a structural row label, not a market input; every $ value in columns B-L is a live formula that recalculates when Inputs-tab values change.</t>
  </si>
  <si>
    <t xml:space="preserve">Notes &amp; Assumptions</t>
  </si>
  <si>
    <t xml:space="preserve">• Quote convention: all rates expressed as USD per EUR. A higher quote means EUR appreciation.</t>
  </si>
  <si>
    <t xml:space="preserve">• Horizon: single-maturity model; T_DAYS = 365.</t>
  </si>
  <si>
    <t xml:space="preserve">• Day-count basis: BASIS_USD = 360 (ACT/360, standard USD money-market convention); BASIS_FC = 365 (ACT/365, per this course's stated convention for EUR legs — real-world EURIBOR is typically ACT/360; this divergence is intentional per the course template, not an error).</t>
  </si>
  <si>
    <t xml:space="preserve">• Parity: the money-market hedge is assumed to replicate the forward hedge under covered interest-rate parity. In this draft, F0_in was set independently of S0_in/R_USD/R_FC, so the MoneyMarket tab's parity check shows a real, material gap — expected, documented, and to be re-verified at Stage 4 with mutually consistent live data.</t>
  </si>
  <si>
    <t xml:space="preserve">• Option premium: paid upfront in USD, quoted per 1 unit of EUR (no contract multiplier). Premia are a negative cash flow at t0, carried forward at R_USD via DF_USD.</t>
  </si>
  <si>
    <t xml:space="preserve">• Counterparty/credit risk: excluded. All derivatives assumed frictionless and creditworthy.</t>
  </si>
  <si>
    <t xml:space="preserve">• Transaction costs &amp; bid-ask spreads: excluded from this base case; flagged as a Stage 4 candidate.</t>
  </si>
  <si>
    <t xml:space="preserve">• Tax/accounting treatment: excluded. Model reports pre-tax cash outcomes only.</t>
  </si>
  <si>
    <t xml:space="preserve">• Scenario construction: S_T is varied deterministically across an 11-point grid; no probability weights or implied-volatility distribution are applied.</t>
  </si>
  <si>
    <t xml:space="preserve">• K_CALL and PREM_CALL are retained for template symmetry with the payable-side mirror hedge; they are not part of the recommended hedge for this EUR receivable.</t>
  </si>
</sst>
</file>

<file path=xl/styles.xml><?xml version="1.0" encoding="utf-8"?>
<styleSheet xmlns="http://schemas.openxmlformats.org/spreadsheetml/2006/main">
  <numFmts count="8">
    <numFmt numFmtId="164" formatCode="General"/>
    <numFmt numFmtId="165" formatCode="#,##0"/>
    <numFmt numFmtId="166" formatCode="0.0000"/>
    <numFmt numFmtId="167" formatCode="0.00%"/>
    <numFmt numFmtId="168" formatCode="\$#,##0.0000"/>
    <numFmt numFmtId="169" formatCode="0.000000"/>
    <numFmt numFmtId="170" formatCode="\$#,##0"/>
    <numFmt numFmtId="171" formatCode="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name val="Arial"/>
      <family val="0"/>
      <charset val="1"/>
    </font>
    <font>
      <sz val="10"/>
      <name val="Arial"/>
      <family val="0"/>
      <charset val="1"/>
    </font>
    <font>
      <b val="true"/>
      <sz val="11"/>
      <color rgb="FF024731"/>
      <name val="Arial"/>
      <family val="0"/>
      <charset val="1"/>
    </font>
    <font>
      <i val="true"/>
      <sz val="9"/>
      <color rgb="FF525252"/>
      <name val="Arial"/>
      <family val="0"/>
      <charset val="1"/>
    </font>
    <font>
      <b val="true"/>
      <sz val="18"/>
      <color rgb="FF000000"/>
      <name val="Calibri"/>
      <family val="2"/>
    </font>
    <font>
      <sz val="10"/>
      <color rgb="FF000000"/>
      <name val="Calibri"/>
      <family val="2"/>
    </font>
    <font>
      <b val="true"/>
      <sz val="10"/>
      <color rgb="FF000000"/>
      <name val="Calibri"/>
      <family val="2"/>
    </font>
  </fonts>
  <fills count="9">
    <fill>
      <patternFill patternType="none"/>
    </fill>
    <fill>
      <patternFill patternType="gray125"/>
    </fill>
    <fill>
      <patternFill patternType="solid">
        <fgColor rgb="FF024731"/>
        <bgColor rgb="FF003366"/>
      </patternFill>
    </fill>
    <fill>
      <patternFill patternType="solid">
        <fgColor rgb="FFE6F2EF"/>
        <bgColor rgb="FFF2F2F2"/>
      </patternFill>
    </fill>
    <fill>
      <patternFill patternType="solid">
        <fgColor rgb="FFFFFF00"/>
        <bgColor rgb="FFFFFF00"/>
      </patternFill>
    </fill>
    <fill>
      <patternFill patternType="solid">
        <fgColor rgb="FFBDD7EE"/>
        <bgColor rgb="FFD9D9D9"/>
      </patternFill>
    </fill>
    <fill>
      <patternFill patternType="solid">
        <fgColor rgb="FFC6EFCE"/>
        <bgColor rgb="FFD9D9D9"/>
      </patternFill>
    </fill>
    <fill>
      <patternFill patternType="solid">
        <fgColor rgb="FFD9D9D9"/>
        <bgColor rgb="FFBDD7EE"/>
      </patternFill>
    </fill>
    <fill>
      <patternFill patternType="solid">
        <fgColor rgb="FFF2F2F2"/>
        <bgColor rgb="FFE6F2EF"/>
      </patternFill>
    </fill>
  </fills>
  <borders count="2">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8" fontId="6" fillId="4"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67" fontId="6" fillId="5" borderId="1" xfId="0" applyFont="true" applyBorder="true" applyAlignment="false" applyProtection="false">
      <alignment horizontal="general" vertical="bottom" textRotation="0" wrapText="false" indent="0" shrinkToFit="false"/>
      <protection locked="true" hidden="false"/>
    </xf>
    <xf numFmtId="169" fontId="6" fillId="6" borderId="1" xfId="0" applyFont="true" applyBorder="true" applyAlignment="false" applyProtection="false">
      <alignment horizontal="general" vertical="bottom" textRotation="0" wrapText="false" indent="0" shrinkToFit="false"/>
      <protection locked="true" hidden="false"/>
    </xf>
    <xf numFmtId="170" fontId="6" fillId="6" borderId="1" xfId="0" applyFont="true" applyBorder="true" applyAlignment="false" applyProtection="false">
      <alignment horizontal="general" vertical="bottom" textRotation="0" wrapText="false" indent="0" shrinkToFit="false"/>
      <protection locked="true" hidden="false"/>
    </xf>
    <xf numFmtId="170" fontId="5" fillId="7" borderId="1" xfId="0" applyFont="true" applyBorder="true" applyAlignment="false" applyProtection="false">
      <alignment horizontal="general" vertical="bottom" textRotation="0" wrapText="false" indent="0" shrinkToFit="false"/>
      <protection locked="true" hidden="false"/>
    </xf>
    <xf numFmtId="165" fontId="6" fillId="6" borderId="1" xfId="0" applyFont="true" applyBorder="true" applyAlignment="false" applyProtection="false">
      <alignment horizontal="general" vertical="bottom" textRotation="0" wrapText="false" indent="0" shrinkToFit="false"/>
      <protection locked="true" hidden="false"/>
    </xf>
    <xf numFmtId="166" fontId="6" fillId="6" borderId="1" xfId="0" applyFont="true" applyBorder="true" applyAlignment="false" applyProtection="false">
      <alignment horizontal="general" vertical="bottom" textRotation="0" wrapText="false" indent="0" shrinkToFit="false"/>
      <protection locked="true" hidden="false"/>
    </xf>
    <xf numFmtId="167" fontId="6" fillId="6"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70" fontId="6" fillId="7"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78787"/>
      <rgbColor rgb="FF9999FF"/>
      <rgbColor rgb="FFBE4B48"/>
      <rgbColor rgb="FFF2F2F2"/>
      <rgbColor rgb="FFE6F2E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D9D9D9"/>
      <rgbColor rgb="FF4A7EBB"/>
      <rgbColor rgb="FF33CCCC"/>
      <rgbColor rgb="FF98B855"/>
      <rgbColor rgb="FFFFCC00"/>
      <rgbColor rgb="FFFF9900"/>
      <rgbColor rgb="FFFF6600"/>
      <rgbColor rgb="FF7D5FA0"/>
      <rgbColor rgb="FF969696"/>
      <rgbColor rgb="FF003366"/>
      <rgbColor rgb="FF339966"/>
      <rgbColor rgb="FF024731"/>
      <rgbColor rgb="FF333300"/>
      <rgbColor rgb="FF993300"/>
      <rgbColor rgb="FF993366"/>
      <rgbColor rgb="FF333399"/>
      <rgbColor rgb="FF5252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USD Proceeds vs. Settlement Spot (S_T)</a:t>
            </a:r>
          </a:p>
        </c:rich>
      </c:tx>
      <c:overlay val="0"/>
      <c:spPr>
        <a:noFill/>
        <a:ln w="0">
          <a:noFill/>
        </a:ln>
      </c:spPr>
    </c:title>
    <c:autoTitleDeleted val="0"/>
    <c:plotArea>
      <c:lineChart>
        <c:grouping val="standard"/>
        <c:varyColors val="0"/>
        <c:ser>
          <c:idx val="0"/>
          <c:order val="0"/>
          <c:tx>
            <c:strRef>
              <c:f>Sensitivity!C3</c:f>
              <c:strCache>
                <c:ptCount val="1"/>
                <c:pt idx="0">
                  <c:v>No Hedge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Sensitivity!$B$4:$B$14</c:f>
              <c:strCache>
                <c:ptCount val="11"/>
                <c:pt idx="0">
                  <c:v>1.0930</c:v>
                </c:pt>
                <c:pt idx="1">
                  <c:v>1.1045</c:v>
                </c:pt>
                <c:pt idx="2">
                  <c:v>1.1160</c:v>
                </c:pt>
                <c:pt idx="3">
                  <c:v>1.1275</c:v>
                </c:pt>
                <c:pt idx="4">
                  <c:v>1.1390</c:v>
                </c:pt>
                <c:pt idx="5">
                  <c:v>1.1505</c:v>
                </c:pt>
                <c:pt idx="6">
                  <c:v>1.1620</c:v>
                </c:pt>
                <c:pt idx="7">
                  <c:v>1.1735</c:v>
                </c:pt>
                <c:pt idx="8">
                  <c:v>1.1850</c:v>
                </c:pt>
                <c:pt idx="9">
                  <c:v>1.1965</c:v>
                </c:pt>
                <c:pt idx="10">
                  <c:v>1.2080</c:v>
                </c:pt>
              </c:strCache>
            </c:strRef>
          </c:cat>
          <c:val>
            <c:numRef>
              <c:f>Sensitivity!$C$4:$C$14</c:f>
              <c:numCache>
                <c:formatCode>\$#,##0</c:formatCode>
                <c:ptCount val="11"/>
                <c:pt idx="0">
                  <c:v>21859500</c:v>
                </c:pt>
                <c:pt idx="1">
                  <c:v>22089600</c:v>
                </c:pt>
                <c:pt idx="2">
                  <c:v>22319700</c:v>
                </c:pt>
                <c:pt idx="3">
                  <c:v>22549800</c:v>
                </c:pt>
                <c:pt idx="4">
                  <c:v>22779900</c:v>
                </c:pt>
                <c:pt idx="5">
                  <c:v>23010000</c:v>
                </c:pt>
                <c:pt idx="6">
                  <c:v>23240100</c:v>
                </c:pt>
                <c:pt idx="7">
                  <c:v>23470200</c:v>
                </c:pt>
                <c:pt idx="8">
                  <c:v>23700300</c:v>
                </c:pt>
                <c:pt idx="9">
                  <c:v>23930400</c:v>
                </c:pt>
                <c:pt idx="10">
                  <c:v>24160500</c:v>
                </c:pt>
              </c:numCache>
            </c:numRef>
          </c:val>
          <c:smooth val="1"/>
        </c:ser>
        <c:ser>
          <c:idx val="1"/>
          <c:order val="1"/>
          <c:tx>
            <c:strRef>
              <c:f>Sensitivity!D3</c:f>
              <c:strCache>
                <c:ptCount val="1"/>
                <c:pt idx="0">
                  <c:v>Forward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Sensitivity!$B$4:$B$14</c:f>
              <c:strCache>
                <c:ptCount val="11"/>
                <c:pt idx="0">
                  <c:v>1.0930</c:v>
                </c:pt>
                <c:pt idx="1">
                  <c:v>1.1045</c:v>
                </c:pt>
                <c:pt idx="2">
                  <c:v>1.1160</c:v>
                </c:pt>
                <c:pt idx="3">
                  <c:v>1.1275</c:v>
                </c:pt>
                <c:pt idx="4">
                  <c:v>1.1390</c:v>
                </c:pt>
                <c:pt idx="5">
                  <c:v>1.1505</c:v>
                </c:pt>
                <c:pt idx="6">
                  <c:v>1.1620</c:v>
                </c:pt>
                <c:pt idx="7">
                  <c:v>1.1735</c:v>
                </c:pt>
                <c:pt idx="8">
                  <c:v>1.1850</c:v>
                </c:pt>
                <c:pt idx="9">
                  <c:v>1.1965</c:v>
                </c:pt>
                <c:pt idx="10">
                  <c:v>1.2080</c:v>
                </c:pt>
              </c:strCache>
            </c:strRef>
          </c:cat>
          <c:val>
            <c:numRef>
              <c:f>Sensitivity!$D$4:$D$14</c:f>
              <c:numCache>
                <c:formatCode>\$#,##0</c:formatCode>
                <c:ptCount val="11"/>
                <c:pt idx="0">
                  <c:v>21870000</c:v>
                </c:pt>
                <c:pt idx="1">
                  <c:v>21870000</c:v>
                </c:pt>
                <c:pt idx="2">
                  <c:v>21870000</c:v>
                </c:pt>
                <c:pt idx="3">
                  <c:v>21870000</c:v>
                </c:pt>
                <c:pt idx="4">
                  <c:v>21870000</c:v>
                </c:pt>
                <c:pt idx="5">
                  <c:v>21870000</c:v>
                </c:pt>
                <c:pt idx="6">
                  <c:v>21870000</c:v>
                </c:pt>
                <c:pt idx="7">
                  <c:v>21870000</c:v>
                </c:pt>
                <c:pt idx="8">
                  <c:v>21870000</c:v>
                </c:pt>
                <c:pt idx="9">
                  <c:v>21870000</c:v>
                </c:pt>
                <c:pt idx="10">
                  <c:v>21870000</c:v>
                </c:pt>
              </c:numCache>
            </c:numRef>
          </c:val>
          <c:smooth val="1"/>
        </c:ser>
        <c:ser>
          <c:idx val="2"/>
          <c:order val="2"/>
          <c:tx>
            <c:strRef>
              <c:f>Sensitivity!E3</c:f>
              <c:strCache>
                <c:ptCount val="1"/>
                <c:pt idx="0">
                  <c:v>Money Market</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Sensitivity!$B$4:$B$14</c:f>
              <c:strCache>
                <c:ptCount val="11"/>
                <c:pt idx="0">
                  <c:v>1.0930</c:v>
                </c:pt>
                <c:pt idx="1">
                  <c:v>1.1045</c:v>
                </c:pt>
                <c:pt idx="2">
                  <c:v>1.1160</c:v>
                </c:pt>
                <c:pt idx="3">
                  <c:v>1.1275</c:v>
                </c:pt>
                <c:pt idx="4">
                  <c:v>1.1390</c:v>
                </c:pt>
                <c:pt idx="5">
                  <c:v>1.1505</c:v>
                </c:pt>
                <c:pt idx="6">
                  <c:v>1.1620</c:v>
                </c:pt>
                <c:pt idx="7">
                  <c:v>1.1735</c:v>
                </c:pt>
                <c:pt idx="8">
                  <c:v>1.1850</c:v>
                </c:pt>
                <c:pt idx="9">
                  <c:v>1.1965</c:v>
                </c:pt>
                <c:pt idx="10">
                  <c:v>1.2080</c:v>
                </c:pt>
              </c:strCache>
            </c:strRef>
          </c:cat>
          <c:val>
            <c:numRef>
              <c:f>Sensitivity!$E$4:$E$14</c:f>
              <c:numCache>
                <c:formatCode>\$#,##0</c:formatCode>
                <c:ptCount val="11"/>
                <c:pt idx="0">
                  <c:v>23331896.210269</c:v>
                </c:pt>
                <c:pt idx="1">
                  <c:v>23331896.210269</c:v>
                </c:pt>
                <c:pt idx="2">
                  <c:v>23331896.210269</c:v>
                </c:pt>
                <c:pt idx="3">
                  <c:v>23331896.210269</c:v>
                </c:pt>
                <c:pt idx="4">
                  <c:v>23331896.210269</c:v>
                </c:pt>
                <c:pt idx="5">
                  <c:v>23331896.210269</c:v>
                </c:pt>
                <c:pt idx="6">
                  <c:v>23331896.210269</c:v>
                </c:pt>
                <c:pt idx="7">
                  <c:v>23331896.210269</c:v>
                </c:pt>
                <c:pt idx="8">
                  <c:v>23331896.210269</c:v>
                </c:pt>
                <c:pt idx="9">
                  <c:v>23331896.210269</c:v>
                </c:pt>
                <c:pt idx="10">
                  <c:v>23331896.210269</c:v>
                </c:pt>
              </c:numCache>
            </c:numRef>
          </c:val>
          <c:smooth val="1"/>
        </c:ser>
        <c:ser>
          <c:idx val="3"/>
          <c:order val="3"/>
          <c:tx>
            <c:strRef>
              <c:f>Sensitivity!F3</c:f>
              <c:strCache>
                <c:ptCount val="1"/>
                <c:pt idx="0">
                  <c:v>Option (Put)</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Sensitivity!$B$4:$B$14</c:f>
              <c:strCache>
                <c:ptCount val="11"/>
                <c:pt idx="0">
                  <c:v>1.0930</c:v>
                </c:pt>
                <c:pt idx="1">
                  <c:v>1.1045</c:v>
                </c:pt>
                <c:pt idx="2">
                  <c:v>1.1160</c:v>
                </c:pt>
                <c:pt idx="3">
                  <c:v>1.1275</c:v>
                </c:pt>
                <c:pt idx="4">
                  <c:v>1.1390</c:v>
                </c:pt>
                <c:pt idx="5">
                  <c:v>1.1505</c:v>
                </c:pt>
                <c:pt idx="6">
                  <c:v>1.1620</c:v>
                </c:pt>
                <c:pt idx="7">
                  <c:v>1.1735</c:v>
                </c:pt>
                <c:pt idx="8">
                  <c:v>1.1850</c:v>
                </c:pt>
                <c:pt idx="9">
                  <c:v>1.1965</c:v>
                </c:pt>
                <c:pt idx="10">
                  <c:v>1.2080</c:v>
                </c:pt>
              </c:strCache>
            </c:strRef>
          </c:cat>
          <c:val>
            <c:numRef>
              <c:f>Sensitivity!$F$4:$F$14</c:f>
              <c:numCache>
                <c:formatCode>\$#,##0</c:formatCode>
                <c:ptCount val="11"/>
                <c:pt idx="0">
                  <c:v>22616014.4166667</c:v>
                </c:pt>
                <c:pt idx="1">
                  <c:v>22616014.4166667</c:v>
                </c:pt>
                <c:pt idx="2">
                  <c:v>22616014.4166667</c:v>
                </c:pt>
                <c:pt idx="3">
                  <c:v>22616014.4166667</c:v>
                </c:pt>
                <c:pt idx="4">
                  <c:v>22616014.4166667</c:v>
                </c:pt>
                <c:pt idx="5">
                  <c:v>22616014.4166667</c:v>
                </c:pt>
                <c:pt idx="6">
                  <c:v>22846114.4166667</c:v>
                </c:pt>
                <c:pt idx="7">
                  <c:v>23076214.4166667</c:v>
                </c:pt>
                <c:pt idx="8">
                  <c:v>23306314.4166667</c:v>
                </c:pt>
                <c:pt idx="9">
                  <c:v>23536414.4166667</c:v>
                </c:pt>
                <c:pt idx="10">
                  <c:v>23766514.4166667</c:v>
                </c:pt>
              </c:numCache>
            </c:numRef>
          </c:val>
          <c:smooth val="1"/>
        </c:ser>
        <c:hiLowLines>
          <c:spPr>
            <a:ln w="0">
              <a:noFill/>
            </a:ln>
          </c:spPr>
        </c:hiLowLines>
        <c:marker val="0"/>
        <c:axId val="78622440"/>
        <c:axId val="44114935"/>
      </c:lineChart>
      <c:catAx>
        <c:axId val="7862244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S_T (USD per EUR)</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114935"/>
        <c:crosses val="autoZero"/>
        <c:auto val="1"/>
        <c:lblAlgn val="ctr"/>
        <c:lblOffset val="100"/>
        <c:noMultiLvlLbl val="0"/>
      </c:catAx>
      <c:valAx>
        <c:axId val="4411493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 Proceeds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62244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97200</xdr:rowOff>
    </xdr:from>
    <xdr:to>
      <xdr:col>8</xdr:col>
      <xdr:colOff>25200</xdr:colOff>
      <xdr:row>35</xdr:row>
      <xdr:rowOff>77400</xdr:rowOff>
    </xdr:to>
    <xdr:graphicFrame>
      <xdr:nvGraphicFramePr>
        <xdr:cNvPr id="0" name="Chart 1"/>
        <xdr:cNvGraphicFramePr/>
      </xdr:nvGraphicFramePr>
      <xdr:xfrm>
        <a:off x="0" y="332424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s>
  <sheetData>
    <row r="1" customFormat="false" ht="21.75" hidden="false" customHeight="true" outlineLevel="0" collapsed="false">
      <c r="A1" s="1" t="s">
        <v>0</v>
      </c>
      <c r="B1" s="1"/>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row r="12" customFormat="false" ht="15" hidden="false" customHeight="false" outlineLevel="0" collapsed="false">
      <c r="A12" s="4" t="s">
        <v>17</v>
      </c>
    </row>
    <row r="13" customFormat="false" ht="15" hidden="false" customHeight="false" outlineLevel="0" collapsed="false">
      <c r="A13" s="5" t="s">
        <v>18</v>
      </c>
      <c r="B13" s="5" t="s">
        <v>19</v>
      </c>
      <c r="C13" s="5" t="s">
        <v>20</v>
      </c>
      <c r="D13" s="5" t="s">
        <v>21</v>
      </c>
    </row>
    <row r="14" customFormat="false" ht="15" hidden="false" customHeight="false" outlineLevel="0" collapsed="false">
      <c r="A14" s="6" t="s">
        <v>22</v>
      </c>
      <c r="B14" s="6" t="s">
        <v>23</v>
      </c>
      <c r="C14" s="6" t="s">
        <v>24</v>
      </c>
      <c r="D14" s="6" t="s">
        <v>14</v>
      </c>
    </row>
    <row r="15" customFormat="false" ht="15" hidden="false" customHeight="false" outlineLevel="0" collapsed="false">
      <c r="A15" s="6" t="s">
        <v>25</v>
      </c>
      <c r="B15" s="6" t="s">
        <v>26</v>
      </c>
      <c r="C15" s="6" t="s">
        <v>27</v>
      </c>
      <c r="D15" s="6" t="s">
        <v>28</v>
      </c>
    </row>
    <row r="16" customFormat="false" ht="15" hidden="false" customHeight="false" outlineLevel="0" collapsed="false">
      <c r="A16" s="6" t="s">
        <v>29</v>
      </c>
      <c r="B16" s="6" t="s">
        <v>30</v>
      </c>
      <c r="C16" s="6" t="s">
        <v>31</v>
      </c>
      <c r="D16" s="6" t="s">
        <v>14</v>
      </c>
    </row>
    <row r="17" customFormat="false" ht="15" hidden="false" customHeight="false" outlineLevel="0" collapsed="false">
      <c r="A17" s="6" t="s">
        <v>32</v>
      </c>
      <c r="B17" s="6" t="s">
        <v>33</v>
      </c>
      <c r="C17" s="6" t="s">
        <v>34</v>
      </c>
      <c r="D17" s="6" t="s">
        <v>14</v>
      </c>
    </row>
    <row r="18" customFormat="false" ht="15" hidden="false" customHeight="false" outlineLevel="0" collapsed="false">
      <c r="A18" s="6" t="s">
        <v>35</v>
      </c>
      <c r="B18" s="6" t="s">
        <v>36</v>
      </c>
      <c r="C18" s="6" t="s">
        <v>37</v>
      </c>
      <c r="D18" s="6" t="s">
        <v>28</v>
      </c>
    </row>
    <row r="20" customFormat="false" ht="22.35" hidden="false" customHeight="true" outlineLevel="0" collapsed="false">
      <c r="A20" s="7" t="s">
        <v>38</v>
      </c>
      <c r="B20" s="7"/>
      <c r="C20" s="7"/>
      <c r="D20" s="7"/>
    </row>
  </sheetData>
  <mergeCells count="2">
    <mergeCell ref="A1:B1"/>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5"/>
  </cols>
  <sheetData>
    <row r="1" customFormat="false" ht="21.75" hidden="false" customHeight="true" outlineLevel="0" collapsed="false">
      <c r="A1" s="1" t="s">
        <v>39</v>
      </c>
      <c r="B1" s="1"/>
    </row>
    <row r="3" customFormat="false" ht="30" hidden="false" customHeight="true" outlineLevel="0" collapsed="false">
      <c r="A3" s="8" t="s">
        <v>40</v>
      </c>
      <c r="B3" s="9" t="s">
        <v>41</v>
      </c>
    </row>
    <row r="4" customFormat="false" ht="30" hidden="false" customHeight="true" outlineLevel="0" collapsed="false">
      <c r="A4" s="10" t="s">
        <v>40</v>
      </c>
      <c r="B4" s="9" t="s">
        <v>42</v>
      </c>
    </row>
    <row r="5" customFormat="false" ht="30" hidden="false" customHeight="true" outlineLevel="0" collapsed="false">
      <c r="A5" s="11" t="s">
        <v>40</v>
      </c>
      <c r="B5" s="9" t="s">
        <v>43</v>
      </c>
    </row>
    <row r="6" customFormat="false" ht="30" hidden="false" customHeight="true" outlineLevel="0" collapsed="false">
      <c r="A6" s="12" t="s">
        <v>40</v>
      </c>
      <c r="B6" s="9" t="s">
        <v>44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4" min="3" style="0" width="12"/>
    <col collapsed="false" customWidth="true" hidden="false" outlineLevel="0" max="5" min="5" style="0" width="55"/>
  </cols>
  <sheetData>
    <row r="1" customFormat="false" ht="21.75" hidden="false" customHeight="true" outlineLevel="0" collapsed="false">
      <c r="A1" s="1" t="s">
        <v>45</v>
      </c>
      <c r="B1" s="1"/>
      <c r="C1" s="1"/>
      <c r="D1" s="1"/>
      <c r="E1" s="1"/>
    </row>
    <row r="3" customFormat="false" ht="15" hidden="false" customHeight="false" outlineLevel="0" collapsed="false">
      <c r="A3" s="5" t="s">
        <v>18</v>
      </c>
      <c r="B3" s="5" t="s">
        <v>19</v>
      </c>
      <c r="C3" s="5" t="s">
        <v>46</v>
      </c>
      <c r="D3" s="5" t="s">
        <v>47</v>
      </c>
      <c r="E3" s="5" t="s">
        <v>48</v>
      </c>
    </row>
    <row r="4" customFormat="false" ht="15" hidden="false" customHeight="false" outlineLevel="0" collapsed="false">
      <c r="A4" s="13" t="s">
        <v>49</v>
      </c>
      <c r="B4" s="14" t="n">
        <v>20000000</v>
      </c>
      <c r="C4" s="6" t="s">
        <v>50</v>
      </c>
      <c r="D4" s="6" t="s">
        <v>51</v>
      </c>
      <c r="E4" s="6" t="s">
        <v>52</v>
      </c>
    </row>
    <row r="5" customFormat="false" ht="15" hidden="false" customHeight="false" outlineLevel="0" collapsed="false">
      <c r="A5" s="13" t="s">
        <v>22</v>
      </c>
      <c r="B5" s="15" t="n">
        <v>1.1505</v>
      </c>
      <c r="C5" s="6" t="s">
        <v>53</v>
      </c>
      <c r="D5" s="6" t="s">
        <v>51</v>
      </c>
      <c r="E5" s="6" t="s">
        <v>54</v>
      </c>
    </row>
    <row r="6" customFormat="false" ht="15" hidden="false" customHeight="false" outlineLevel="0" collapsed="false">
      <c r="A6" s="13" t="s">
        <v>25</v>
      </c>
      <c r="B6" s="15" t="n">
        <v>1.0935</v>
      </c>
      <c r="C6" s="6" t="s">
        <v>53</v>
      </c>
      <c r="D6" s="6" t="s">
        <v>51</v>
      </c>
      <c r="E6" s="6" t="s">
        <v>55</v>
      </c>
    </row>
    <row r="7" customFormat="false" ht="15" hidden="false" customHeight="false" outlineLevel="0" collapsed="false">
      <c r="A7" s="13" t="s">
        <v>29</v>
      </c>
      <c r="B7" s="16" t="n">
        <v>0.0363</v>
      </c>
      <c r="C7" s="6" t="s">
        <v>56</v>
      </c>
      <c r="D7" s="6" t="s">
        <v>51</v>
      </c>
      <c r="E7" s="6" t="s">
        <v>57</v>
      </c>
    </row>
    <row r="8" customFormat="false" ht="15" hidden="false" customHeight="false" outlineLevel="0" collapsed="false">
      <c r="A8" s="13" t="s">
        <v>32</v>
      </c>
      <c r="B8" s="16" t="n">
        <v>0.0225</v>
      </c>
      <c r="C8" s="6" t="s">
        <v>56</v>
      </c>
      <c r="D8" s="6" t="s">
        <v>51</v>
      </c>
      <c r="E8" s="6" t="s">
        <v>58</v>
      </c>
    </row>
    <row r="9" customFormat="false" ht="15" hidden="false" customHeight="false" outlineLevel="0" collapsed="false">
      <c r="A9" s="13" t="s">
        <v>59</v>
      </c>
      <c r="B9" s="14" t="n">
        <v>365</v>
      </c>
      <c r="C9" s="6" t="s">
        <v>60</v>
      </c>
      <c r="D9" s="6" t="s">
        <v>51</v>
      </c>
      <c r="E9" s="6" t="s">
        <v>61</v>
      </c>
    </row>
    <row r="10" customFormat="false" ht="15" hidden="false" customHeight="false" outlineLevel="0" collapsed="false">
      <c r="A10" s="13" t="s">
        <v>62</v>
      </c>
      <c r="B10" s="15" t="n">
        <v>1.1505</v>
      </c>
      <c r="C10" s="6" t="s">
        <v>53</v>
      </c>
      <c r="D10" s="6" t="s">
        <v>51</v>
      </c>
      <c r="E10" s="6" t="s">
        <v>63</v>
      </c>
    </row>
    <row r="11" customFormat="false" ht="15" hidden="false" customHeight="false" outlineLevel="0" collapsed="false">
      <c r="A11" s="13" t="s">
        <v>64</v>
      </c>
      <c r="B11" s="15" t="n">
        <v>1.1505</v>
      </c>
      <c r="C11" s="6" t="s">
        <v>53</v>
      </c>
      <c r="D11" s="6" t="s">
        <v>51</v>
      </c>
      <c r="E11" s="6" t="s">
        <v>65</v>
      </c>
    </row>
    <row r="12" customFormat="false" ht="15" hidden="false" customHeight="false" outlineLevel="0" collapsed="false">
      <c r="A12" s="13" t="s">
        <v>66</v>
      </c>
      <c r="B12" s="17" t="n">
        <v>0.019</v>
      </c>
      <c r="C12" s="6" t="s">
        <v>67</v>
      </c>
      <c r="D12" s="6" t="s">
        <v>51</v>
      </c>
      <c r="E12" s="6" t="s">
        <v>68</v>
      </c>
    </row>
    <row r="13" customFormat="false" ht="15" hidden="false" customHeight="false" outlineLevel="0" collapsed="false">
      <c r="A13" s="13" t="s">
        <v>69</v>
      </c>
      <c r="B13" s="17" t="n">
        <v>0.024</v>
      </c>
      <c r="C13" s="6" t="s">
        <v>67</v>
      </c>
      <c r="D13" s="6" t="s">
        <v>51</v>
      </c>
      <c r="E13" s="6" t="s">
        <v>65</v>
      </c>
    </row>
    <row r="15" customFormat="false" ht="15" hidden="false" customHeight="false" outlineLevel="0" collapsed="false">
      <c r="A15" s="4" t="s">
        <v>70</v>
      </c>
    </row>
    <row r="16" customFormat="false" ht="15" hidden="false" customHeight="false" outlineLevel="0" collapsed="false">
      <c r="A16" s="13" t="s">
        <v>71</v>
      </c>
      <c r="B16" s="18" t="n">
        <v>360</v>
      </c>
      <c r="C16" s="6" t="s">
        <v>60</v>
      </c>
      <c r="D16" s="6" t="s">
        <v>72</v>
      </c>
      <c r="E16" s="6" t="s">
        <v>73</v>
      </c>
    </row>
    <row r="17" customFormat="false" ht="15" hidden="false" customHeight="false" outlineLevel="0" collapsed="false">
      <c r="A17" s="13" t="s">
        <v>74</v>
      </c>
      <c r="B17" s="18" t="n">
        <v>365</v>
      </c>
      <c r="C17" s="6" t="s">
        <v>60</v>
      </c>
      <c r="D17" s="6" t="s">
        <v>72</v>
      </c>
      <c r="E17" s="6" t="s">
        <v>75</v>
      </c>
    </row>
    <row r="18" customFormat="false" ht="15" hidden="false" customHeight="false" outlineLevel="0" collapsed="false">
      <c r="A18" s="13" t="s">
        <v>76</v>
      </c>
      <c r="B18" s="19" t="n">
        <v>0.01</v>
      </c>
      <c r="C18" s="6" t="s">
        <v>77</v>
      </c>
      <c r="D18" s="6" t="s">
        <v>72</v>
      </c>
      <c r="E18" s="6" t="s">
        <v>78</v>
      </c>
    </row>
    <row r="20" customFormat="false" ht="15" hidden="false" customHeight="false" outlineLevel="0" collapsed="false">
      <c r="A20" s="4" t="s">
        <v>79</v>
      </c>
    </row>
    <row r="21" customFormat="false" ht="15" hidden="false" customHeight="false" outlineLevel="0" collapsed="false">
      <c r="A21" s="13" t="s">
        <v>80</v>
      </c>
      <c r="B21" s="20" t="n">
        <f aca="false">1+R_USD*T_DAYS/BASIS_USD</f>
        <v>1.03680416666667</v>
      </c>
      <c r="C21" s="6" t="s">
        <v>81</v>
      </c>
      <c r="D21" s="6" t="s">
        <v>82</v>
      </c>
      <c r="E21" s="6" t="s">
        <v>83</v>
      </c>
    </row>
    <row r="22" customFormat="false" ht="15" hidden="false" customHeight="false" outlineLevel="0" collapsed="false">
      <c r="A22" s="13" t="s">
        <v>84</v>
      </c>
      <c r="B22" s="20" t="n">
        <f aca="false">1+R_FC*T_DAYS/BASIS_FC</f>
        <v>1.0225</v>
      </c>
      <c r="C22" s="6" t="s">
        <v>81</v>
      </c>
      <c r="D22" s="6" t="s">
        <v>82</v>
      </c>
      <c r="E22" s="6" t="s">
        <v>85</v>
      </c>
    </row>
    <row r="23" customFormat="false" ht="15" hidden="false" customHeight="false" outlineLevel="0" collapsed="false">
      <c r="A23" s="13" t="s">
        <v>86</v>
      </c>
      <c r="B23" s="21" t="n">
        <f aca="false">-PREM_PUT*FC_AMT*DF_USD</f>
        <v>-393985.583333333</v>
      </c>
      <c r="C23" s="6" t="s">
        <v>67</v>
      </c>
      <c r="D23" s="6" t="s">
        <v>82</v>
      </c>
      <c r="E23" s="6" t="s">
        <v>87</v>
      </c>
    </row>
    <row r="24" customFormat="false" ht="15" hidden="false" customHeight="false" outlineLevel="0" collapsed="false">
      <c r="A24" s="13" t="s">
        <v>88</v>
      </c>
      <c r="B24" s="21" t="n">
        <f aca="false">-PREM_CALL*FC_AMT*DF_USD</f>
        <v>-497666</v>
      </c>
      <c r="C24" s="6" t="s">
        <v>67</v>
      </c>
      <c r="D24" s="6" t="s">
        <v>82</v>
      </c>
      <c r="E24" s="6" t="s">
        <v>89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s>
  <sheetData>
    <row r="1" customFormat="false" ht="21.75" hidden="false" customHeight="true" outlineLevel="0" collapsed="false">
      <c r="A1" s="1" t="s">
        <v>90</v>
      </c>
      <c r="B1" s="1"/>
    </row>
    <row r="3" customFormat="false" ht="15" hidden="false" customHeight="false" outlineLevel="0" collapsed="false">
      <c r="A3" s="2" t="s">
        <v>91</v>
      </c>
      <c r="B3" s="22" t="n">
        <f aca="false">FC_AMT*F0_in</f>
        <v>21870000</v>
      </c>
    </row>
    <row r="5" customFormat="false" ht="22.35" hidden="false" customHeight="true" outlineLevel="0" collapsed="false">
      <c r="A5" s="7" t="s">
        <v>92</v>
      </c>
      <c r="B5" s="7"/>
      <c r="C5" s="7"/>
      <c r="D5" s="7"/>
    </row>
  </sheetData>
  <mergeCells count="2">
    <mergeCell ref="A1:B1"/>
    <mergeCell ref="A5:D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s>
  <sheetData>
    <row r="1" customFormat="false" ht="21.75" hidden="false" customHeight="true" outlineLevel="0" collapsed="false">
      <c r="A1" s="1" t="s">
        <v>93</v>
      </c>
      <c r="B1" s="1"/>
    </row>
    <row r="3" customFormat="false" ht="15" hidden="false" customHeight="false" outlineLevel="0" collapsed="false">
      <c r="A3" s="2" t="s">
        <v>94</v>
      </c>
      <c r="B3" s="23" t="n">
        <f aca="false">FC_AMT/DF_FC</f>
        <v>19559902.200489</v>
      </c>
    </row>
    <row r="4" customFormat="false" ht="15" hidden="false" customHeight="false" outlineLevel="0" collapsed="false">
      <c r="A4" s="3" t="s">
        <v>95</v>
      </c>
      <c r="B4" s="21" t="n">
        <f aca="false">B3*S0_in</f>
        <v>22503667.4816626</v>
      </c>
    </row>
    <row r="5" customFormat="false" ht="15" hidden="false" customHeight="false" outlineLevel="0" collapsed="false">
      <c r="A5" s="2" t="s">
        <v>96</v>
      </c>
      <c r="B5" s="22" t="n">
        <f aca="false">B4*DF_USD</f>
        <v>23331896.210269</v>
      </c>
    </row>
    <row r="7" customFormat="false" ht="15" hidden="false" customHeight="false" outlineLevel="0" collapsed="false">
      <c r="A7" s="4" t="s">
        <v>97</v>
      </c>
    </row>
    <row r="8" customFormat="false" ht="15" hidden="false" customHeight="false" outlineLevel="0" collapsed="false">
      <c r="A8" s="3" t="s">
        <v>98</v>
      </c>
      <c r="B8" s="24" t="n">
        <f aca="false">S0_in*DF_USD/DF_FC</f>
        <v>1.16659481051345</v>
      </c>
    </row>
    <row r="9" customFormat="false" ht="15" hidden="false" customHeight="false" outlineLevel="0" collapsed="false">
      <c r="A9" s="3" t="s">
        <v>99</v>
      </c>
      <c r="B9" s="24" t="n">
        <f aca="false">F0_in</f>
        <v>1.0935</v>
      </c>
    </row>
    <row r="10" customFormat="false" ht="15" hidden="false" customHeight="false" outlineLevel="0" collapsed="false">
      <c r="A10" s="3" t="s">
        <v>100</v>
      </c>
      <c r="B10" s="24" t="n">
        <f aca="false">ABS(B8-B9)</f>
        <v>0.0730948105134477</v>
      </c>
    </row>
    <row r="11" customFormat="false" ht="15" hidden="false" customHeight="false" outlineLevel="0" collapsed="false">
      <c r="A11" s="3" t="s">
        <v>101</v>
      </c>
      <c r="B11" s="25" t="n">
        <f aca="false">ABS(B5-Forward!B3)/Forward!B3</f>
        <v>0.0668448198568337</v>
      </c>
    </row>
    <row r="12" customFormat="false" ht="15" hidden="false" customHeight="false" outlineLevel="0" collapsed="false">
      <c r="A12" s="2" t="s">
        <v>102</v>
      </c>
      <c r="B12" s="26" t="str">
        <f aca="false">IF(B11&lt;=0.0005,"PASS","FAIL")</f>
        <v>FAIL</v>
      </c>
    </row>
    <row r="14" customFormat="false" ht="43.25" hidden="false" customHeight="true" outlineLevel="0" collapsed="false">
      <c r="A14" s="7" t="s">
        <v>103</v>
      </c>
      <c r="B14" s="7"/>
      <c r="C14" s="7"/>
      <c r="D14" s="7"/>
    </row>
  </sheetData>
  <mergeCells count="2">
    <mergeCell ref="A1:B1"/>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s>
  <sheetData>
    <row r="1" customFormat="false" ht="21.75" hidden="false" customHeight="true" outlineLevel="0" collapsed="false">
      <c r="A1" s="1" t="s">
        <v>104</v>
      </c>
      <c r="B1" s="1"/>
    </row>
    <row r="3" customFormat="false" ht="15" hidden="false" customHeight="false" outlineLevel="0" collapsed="false">
      <c r="A3" s="2" t="s">
        <v>105</v>
      </c>
      <c r="B3" s="22" t="n">
        <f aca="false">MAX(S0_in,K_PUT)*FC_AMT+FV_PREM_PUT</f>
        <v>22616014.4166667</v>
      </c>
    </row>
    <row r="4" customFormat="false" ht="15" hidden="false" customHeight="false" outlineLevel="0" collapsed="false">
      <c r="A4" s="3" t="s">
        <v>106</v>
      </c>
      <c r="B4" s="27" t="n">
        <f aca="false">MIN(S0_in,K_CALL)*FC_AMT+FV_PREM_CALL</f>
        <v>22512334</v>
      </c>
    </row>
    <row r="6" customFormat="false" ht="43.25" hidden="false" customHeight="true" outlineLevel="0" collapsed="false">
      <c r="A6" s="7" t="s">
        <v>107</v>
      </c>
      <c r="B6" s="7"/>
      <c r="C6" s="7"/>
      <c r="D6" s="7"/>
    </row>
    <row r="8" customFormat="false" ht="15" hidden="false" customHeight="false" outlineLevel="0" collapsed="false">
      <c r="A8" s="4" t="s">
        <v>108</v>
      </c>
    </row>
    <row r="9" customFormat="false" ht="15" hidden="false" customHeight="false" outlineLevel="0" collapsed="false">
      <c r="A9" s="3" t="s">
        <v>109</v>
      </c>
      <c r="B9" s="21" t="n">
        <f aca="false">MAX(K_PUT,K_PUT)*FC_AMT+FV_PREM_PUT</f>
        <v>22616014.4166667</v>
      </c>
    </row>
    <row r="10" customFormat="false" ht="15" hidden="false" customHeight="false" outlineLevel="0" collapsed="false">
      <c r="A10" s="3" t="s">
        <v>110</v>
      </c>
      <c r="B10" s="21" t="n">
        <f aca="false">K_PUT*FC_AMT+FV_PREM_PUT</f>
        <v>22616014.4166667</v>
      </c>
    </row>
    <row r="11" customFormat="false" ht="15" hidden="false" customHeight="false" outlineLevel="0" collapsed="false">
      <c r="A11" s="2" t="s">
        <v>111</v>
      </c>
      <c r="B11" s="26" t="str">
        <f aca="false">IF(ABS(B9-B10)&lt;1,"PASS","FAIL")</f>
        <v>PASS</v>
      </c>
    </row>
  </sheetData>
  <mergeCells count="2">
    <mergeCell ref="A1:B1"/>
    <mergeCell ref="A6:D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7" min="3" style="0" width="16"/>
    <col collapsed="false" customWidth="true" hidden="false" outlineLevel="0" max="10" min="8" style="0" width="14"/>
    <col collapsed="false" customWidth="true" hidden="false" outlineLevel="0" max="11" min="11" style="0" width="16"/>
    <col collapsed="false" customWidth="true" hidden="false" outlineLevel="0" max="12" min="12" style="0" width="18"/>
  </cols>
  <sheetData>
    <row r="1" customFormat="false" ht="21.75" hidden="false" customHeight="true" outlineLevel="0" collapsed="false">
      <c r="A1" s="1" t="s">
        <v>112</v>
      </c>
      <c r="B1" s="1"/>
      <c r="C1" s="1"/>
      <c r="D1" s="1"/>
      <c r="E1" s="1"/>
      <c r="F1" s="1"/>
      <c r="G1" s="1"/>
      <c r="H1" s="1"/>
      <c r="I1" s="1"/>
      <c r="J1" s="1"/>
      <c r="K1" s="1"/>
      <c r="L1" s="1"/>
      <c r="N1" s="28" t="s">
        <v>113</v>
      </c>
      <c r="O1" s="28" t="s">
        <v>114</v>
      </c>
    </row>
    <row r="2" customFormat="false" ht="15" hidden="false" customHeight="false" outlineLevel="0" collapsed="false">
      <c r="N2" s="29" t="s">
        <v>115</v>
      </c>
      <c r="O2" s="29" t="s">
        <v>116</v>
      </c>
    </row>
    <row r="3" customFormat="false" ht="15" hidden="false" customHeight="false" outlineLevel="0" collapsed="false">
      <c r="A3" s="5" t="s">
        <v>117</v>
      </c>
      <c r="B3" s="5" t="s">
        <v>118</v>
      </c>
      <c r="C3" s="5" t="s">
        <v>115</v>
      </c>
      <c r="D3" s="5" t="s">
        <v>116</v>
      </c>
      <c r="E3" s="5" t="s">
        <v>119</v>
      </c>
      <c r="F3" s="5" t="s">
        <v>120</v>
      </c>
      <c r="G3" s="5" t="s">
        <v>121</v>
      </c>
      <c r="H3" s="5" t="s">
        <v>122</v>
      </c>
      <c r="I3" s="5" t="s">
        <v>123</v>
      </c>
      <c r="J3" s="5" t="s">
        <v>124</v>
      </c>
      <c r="K3" s="5" t="s">
        <v>125</v>
      </c>
      <c r="L3" s="5" t="s">
        <v>126</v>
      </c>
      <c r="N3" s="29" t="s">
        <v>116</v>
      </c>
      <c r="O3" s="29" t="s">
        <v>119</v>
      </c>
    </row>
    <row r="4" customFormat="false" ht="15" hidden="false" customHeight="false" outlineLevel="0" collapsed="false">
      <c r="A4" s="30" t="n">
        <v>-5</v>
      </c>
      <c r="B4" s="24" t="n">
        <f aca="false">S0_in*(1+A4*STEP_FRAC)</f>
        <v>1.092975</v>
      </c>
      <c r="C4" s="21" t="n">
        <f aca="false">B4*FC_AMT</f>
        <v>21859500</v>
      </c>
      <c r="D4" s="21" t="n">
        <f aca="false">Forward!$B$3</f>
        <v>21870000</v>
      </c>
      <c r="E4" s="21" t="n">
        <f aca="false">MoneyMarket!$B$5</f>
        <v>23331896.210269</v>
      </c>
      <c r="F4" s="21" t="n">
        <f aca="false">MAX(B4,K_PUT)*FC_AMT+FV_PREM_PUT</f>
        <v>22616014.4166667</v>
      </c>
      <c r="G4" s="21" t="n">
        <f aca="false">MIN(B4,K_CALL)*FC_AMT+FV_PREM_CALL</f>
        <v>21361834</v>
      </c>
      <c r="H4" s="21" t="n">
        <f aca="false">D4-C4</f>
        <v>10500</v>
      </c>
      <c r="I4" s="21" t="n">
        <f aca="false">E4-C4</f>
        <v>1472396.21026895</v>
      </c>
      <c r="J4" s="21" t="n">
        <f aca="false">F4-C4</f>
        <v>756514.416666668</v>
      </c>
      <c r="K4" s="12" t="str">
        <f aca="false">INDEX($N$2:$N$5,MATCH(MAX(C4:F4),C4:F4,0))</f>
        <v>Money Market</v>
      </c>
      <c r="L4" s="12" t="str">
        <f aca="false">INDEX($O$2:$O$4,MATCH(MAX(D4:F4),D4:F4,0))</f>
        <v>Money Market</v>
      </c>
      <c r="N4" s="29" t="s">
        <v>119</v>
      </c>
      <c r="O4" s="29" t="s">
        <v>120</v>
      </c>
    </row>
    <row r="5" customFormat="false" ht="15" hidden="false" customHeight="false" outlineLevel="0" collapsed="false">
      <c r="A5" s="30" t="n">
        <v>-4</v>
      </c>
      <c r="B5" s="24" t="n">
        <f aca="false">S0_in*(1+A5*STEP_FRAC)</f>
        <v>1.10448</v>
      </c>
      <c r="C5" s="21" t="n">
        <f aca="false">B5*FC_AMT</f>
        <v>22089600</v>
      </c>
      <c r="D5" s="21" t="n">
        <f aca="false">Forward!$B$3</f>
        <v>21870000</v>
      </c>
      <c r="E5" s="21" t="n">
        <f aca="false">MoneyMarket!$B$5</f>
        <v>23331896.210269</v>
      </c>
      <c r="F5" s="21" t="n">
        <f aca="false">MAX(B5,K_PUT)*FC_AMT+FV_PREM_PUT</f>
        <v>22616014.4166667</v>
      </c>
      <c r="G5" s="21" t="n">
        <f aca="false">MIN(B5,K_CALL)*FC_AMT+FV_PREM_CALL</f>
        <v>21591934</v>
      </c>
      <c r="H5" s="21" t="n">
        <f aca="false">D5-C5</f>
        <v>-219600.000000004</v>
      </c>
      <c r="I5" s="21" t="n">
        <f aca="false">E5-C5</f>
        <v>1242296.21026895</v>
      </c>
      <c r="J5" s="21" t="n">
        <f aca="false">F5-C5</f>
        <v>526414.416666664</v>
      </c>
      <c r="K5" s="12" t="str">
        <f aca="false">INDEX($N$2:$N$5,MATCH(MAX(C5:F5),C5:F5,0))</f>
        <v>Money Market</v>
      </c>
      <c r="L5" s="12" t="str">
        <f aca="false">INDEX($O$2:$O$4,MATCH(MAX(D5:F5),D5:F5,0))</f>
        <v>Money Market</v>
      </c>
      <c r="N5" s="29" t="s">
        <v>120</v>
      </c>
    </row>
    <row r="6" customFormat="false" ht="15" hidden="false" customHeight="false" outlineLevel="0" collapsed="false">
      <c r="A6" s="30" t="n">
        <v>-3</v>
      </c>
      <c r="B6" s="24" t="n">
        <f aca="false">S0_in*(1+A6*STEP_FRAC)</f>
        <v>1.115985</v>
      </c>
      <c r="C6" s="21" t="n">
        <f aca="false">B6*FC_AMT</f>
        <v>22319700</v>
      </c>
      <c r="D6" s="21" t="n">
        <f aca="false">Forward!$B$3</f>
        <v>21870000</v>
      </c>
      <c r="E6" s="21" t="n">
        <f aca="false">MoneyMarket!$B$5</f>
        <v>23331896.210269</v>
      </c>
      <c r="F6" s="21" t="n">
        <f aca="false">MAX(B6,K_PUT)*FC_AMT+FV_PREM_PUT</f>
        <v>22616014.4166667</v>
      </c>
      <c r="G6" s="21" t="n">
        <f aca="false">MIN(B6,K_CALL)*FC_AMT+FV_PREM_CALL</f>
        <v>21822034</v>
      </c>
      <c r="H6" s="21" t="n">
        <f aca="false">D6-C6</f>
        <v>-449700</v>
      </c>
      <c r="I6" s="21" t="n">
        <f aca="false">E6-C6</f>
        <v>1012196.21026895</v>
      </c>
      <c r="J6" s="21" t="n">
        <f aca="false">F6-C6</f>
        <v>296314.416666668</v>
      </c>
      <c r="K6" s="12" t="str">
        <f aca="false">INDEX($N$2:$N$5,MATCH(MAX(C6:F6),C6:F6,0))</f>
        <v>Money Market</v>
      </c>
      <c r="L6" s="12" t="str">
        <f aca="false">INDEX($O$2:$O$4,MATCH(MAX(D6:F6),D6:F6,0))</f>
        <v>Money Market</v>
      </c>
    </row>
    <row r="7" customFormat="false" ht="15" hidden="false" customHeight="false" outlineLevel="0" collapsed="false">
      <c r="A7" s="30" t="n">
        <v>-2</v>
      </c>
      <c r="B7" s="24" t="n">
        <f aca="false">S0_in*(1+A7*STEP_FRAC)</f>
        <v>1.12749</v>
      </c>
      <c r="C7" s="21" t="n">
        <f aca="false">B7*FC_AMT</f>
        <v>22549800</v>
      </c>
      <c r="D7" s="21" t="n">
        <f aca="false">Forward!$B$3</f>
        <v>21870000</v>
      </c>
      <c r="E7" s="21" t="n">
        <f aca="false">MoneyMarket!$B$5</f>
        <v>23331896.210269</v>
      </c>
      <c r="F7" s="21" t="n">
        <f aca="false">MAX(B7,K_PUT)*FC_AMT+FV_PREM_PUT</f>
        <v>22616014.4166667</v>
      </c>
      <c r="G7" s="21" t="n">
        <f aca="false">MIN(B7,K_CALL)*FC_AMT+FV_PREM_CALL</f>
        <v>22052134</v>
      </c>
      <c r="H7" s="21" t="n">
        <f aca="false">D7-C7</f>
        <v>-679800.000000004</v>
      </c>
      <c r="I7" s="21" t="n">
        <f aca="false">E7-C7</f>
        <v>782096.210268948</v>
      </c>
      <c r="J7" s="21" t="n">
        <f aca="false">F7-C7</f>
        <v>66214.4166666642</v>
      </c>
      <c r="K7" s="12" t="str">
        <f aca="false">INDEX($N$2:$N$5,MATCH(MAX(C7:F7),C7:F7,0))</f>
        <v>Money Market</v>
      </c>
      <c r="L7" s="12" t="str">
        <f aca="false">INDEX($O$2:$O$4,MATCH(MAX(D7:F7),D7:F7,0))</f>
        <v>Money Market</v>
      </c>
    </row>
    <row r="8" customFormat="false" ht="15" hidden="false" customHeight="false" outlineLevel="0" collapsed="false">
      <c r="A8" s="30" t="n">
        <v>-1</v>
      </c>
      <c r="B8" s="24" t="n">
        <f aca="false">S0_in*(1+A8*STEP_FRAC)</f>
        <v>1.138995</v>
      </c>
      <c r="C8" s="21" t="n">
        <f aca="false">B8*FC_AMT</f>
        <v>22779900</v>
      </c>
      <c r="D8" s="21" t="n">
        <f aca="false">Forward!$B$3</f>
        <v>21870000</v>
      </c>
      <c r="E8" s="21" t="n">
        <f aca="false">MoneyMarket!$B$5</f>
        <v>23331896.210269</v>
      </c>
      <c r="F8" s="21" t="n">
        <f aca="false">MAX(B8,K_PUT)*FC_AMT+FV_PREM_PUT</f>
        <v>22616014.4166667</v>
      </c>
      <c r="G8" s="21" t="n">
        <f aca="false">MIN(B8,K_CALL)*FC_AMT+FV_PREM_CALL</f>
        <v>22282234</v>
      </c>
      <c r="H8" s="21" t="n">
        <f aca="false">D8-C8</f>
        <v>-909900</v>
      </c>
      <c r="I8" s="21" t="n">
        <f aca="false">E8-C8</f>
        <v>551996.210268952</v>
      </c>
      <c r="J8" s="21" t="n">
        <f aca="false">F8-C8</f>
        <v>-163885.583333332</v>
      </c>
      <c r="K8" s="12" t="str">
        <f aca="false">INDEX($N$2:$N$5,MATCH(MAX(C8:F8),C8:F8,0))</f>
        <v>Money Market</v>
      </c>
      <c r="L8" s="12" t="str">
        <f aca="false">INDEX($O$2:$O$4,MATCH(MAX(D8:F8),D8:F8,0))</f>
        <v>Money Market</v>
      </c>
    </row>
    <row r="9" customFormat="false" ht="15" hidden="false" customHeight="false" outlineLevel="0" collapsed="false">
      <c r="A9" s="30" t="n">
        <v>0</v>
      </c>
      <c r="B9" s="24" t="n">
        <f aca="false">S0_in*(1+A9*STEP_FRAC)</f>
        <v>1.1505</v>
      </c>
      <c r="C9" s="21" t="n">
        <f aca="false">B9*FC_AMT</f>
        <v>23010000</v>
      </c>
      <c r="D9" s="21" t="n">
        <f aca="false">Forward!$B$3</f>
        <v>21870000</v>
      </c>
      <c r="E9" s="21" t="n">
        <f aca="false">MoneyMarket!$B$5</f>
        <v>23331896.210269</v>
      </c>
      <c r="F9" s="21" t="n">
        <f aca="false">MAX(B9,K_PUT)*FC_AMT+FV_PREM_PUT</f>
        <v>22616014.4166667</v>
      </c>
      <c r="G9" s="21" t="n">
        <f aca="false">MIN(B9,K_CALL)*FC_AMT+FV_PREM_CALL</f>
        <v>22512334</v>
      </c>
      <c r="H9" s="21" t="n">
        <f aca="false">D9-C9</f>
        <v>-1140000</v>
      </c>
      <c r="I9" s="21" t="n">
        <f aca="false">E9-C9</f>
        <v>321896.210268952</v>
      </c>
      <c r="J9" s="21" t="n">
        <f aca="false">F9-C9</f>
        <v>-393985.583333332</v>
      </c>
      <c r="K9" s="12" t="str">
        <f aca="false">INDEX($N$2:$N$5,MATCH(MAX(C9:F9),C9:F9,0))</f>
        <v>Money Market</v>
      </c>
      <c r="L9" s="12" t="str">
        <f aca="false">INDEX($O$2:$O$4,MATCH(MAX(D9:F9),D9:F9,0))</f>
        <v>Money Market</v>
      </c>
    </row>
    <row r="10" customFormat="false" ht="15" hidden="false" customHeight="false" outlineLevel="0" collapsed="false">
      <c r="A10" s="30" t="n">
        <v>1</v>
      </c>
      <c r="B10" s="24" t="n">
        <f aca="false">S0_in*(1+A10*STEP_FRAC)</f>
        <v>1.162005</v>
      </c>
      <c r="C10" s="21" t="n">
        <f aca="false">B10*FC_AMT</f>
        <v>23240100</v>
      </c>
      <c r="D10" s="21" t="n">
        <f aca="false">Forward!$B$3</f>
        <v>21870000</v>
      </c>
      <c r="E10" s="21" t="n">
        <f aca="false">MoneyMarket!$B$5</f>
        <v>23331896.210269</v>
      </c>
      <c r="F10" s="21" t="n">
        <f aca="false">MAX(B10,K_PUT)*FC_AMT+FV_PREM_PUT</f>
        <v>22846114.4166667</v>
      </c>
      <c r="G10" s="21" t="n">
        <f aca="false">MIN(B10,K_CALL)*FC_AMT+FV_PREM_CALL</f>
        <v>22512334</v>
      </c>
      <c r="H10" s="21" t="n">
        <f aca="false">D10-C10</f>
        <v>-1370100</v>
      </c>
      <c r="I10" s="21" t="n">
        <f aca="false">E10-C10</f>
        <v>91796.2102689482</v>
      </c>
      <c r="J10" s="21" t="n">
        <f aca="false">F10-C10</f>
        <v>-393985.583333332</v>
      </c>
      <c r="K10" s="12" t="str">
        <f aca="false">INDEX($N$2:$N$5,MATCH(MAX(C10:F10),C10:F10,0))</f>
        <v>Money Market</v>
      </c>
      <c r="L10" s="12" t="str">
        <f aca="false">INDEX($O$2:$O$4,MATCH(MAX(D10:F10),D10:F10,0))</f>
        <v>Money Market</v>
      </c>
    </row>
    <row r="11" customFormat="false" ht="15" hidden="false" customHeight="false" outlineLevel="0" collapsed="false">
      <c r="A11" s="30" t="n">
        <v>2</v>
      </c>
      <c r="B11" s="24" t="n">
        <f aca="false">S0_in*(1+A11*STEP_FRAC)</f>
        <v>1.17351</v>
      </c>
      <c r="C11" s="21" t="n">
        <f aca="false">B11*FC_AMT</f>
        <v>23470200</v>
      </c>
      <c r="D11" s="21" t="n">
        <f aca="false">Forward!$B$3</f>
        <v>21870000</v>
      </c>
      <c r="E11" s="21" t="n">
        <f aca="false">MoneyMarket!$B$5</f>
        <v>23331896.210269</v>
      </c>
      <c r="F11" s="21" t="n">
        <f aca="false">MAX(B11,K_PUT)*FC_AMT+FV_PREM_PUT</f>
        <v>23076214.4166667</v>
      </c>
      <c r="G11" s="21" t="n">
        <f aca="false">MIN(B11,K_CALL)*FC_AMT+FV_PREM_CALL</f>
        <v>22512334</v>
      </c>
      <c r="H11" s="21" t="n">
        <f aca="false">D11-C11</f>
        <v>-1600200</v>
      </c>
      <c r="I11" s="21" t="n">
        <f aca="false">E11-C11</f>
        <v>-138303.789731048</v>
      </c>
      <c r="J11" s="21" t="n">
        <f aca="false">F11-C11</f>
        <v>-393985.583333332</v>
      </c>
      <c r="K11" s="12" t="str">
        <f aca="false">INDEX($N$2:$N$5,MATCH(MAX(C11:F11),C11:F11,0))</f>
        <v>No Hedge</v>
      </c>
      <c r="L11" s="12" t="str">
        <f aca="false">INDEX($O$2:$O$4,MATCH(MAX(D11:F11),D11:F11,0))</f>
        <v>Money Market</v>
      </c>
    </row>
    <row r="12" customFormat="false" ht="15" hidden="false" customHeight="false" outlineLevel="0" collapsed="false">
      <c r="A12" s="30" t="n">
        <v>3</v>
      </c>
      <c r="B12" s="24" t="n">
        <f aca="false">S0_in*(1+A12*STEP_FRAC)</f>
        <v>1.185015</v>
      </c>
      <c r="C12" s="21" t="n">
        <f aca="false">B12*FC_AMT</f>
        <v>23700300</v>
      </c>
      <c r="D12" s="21" t="n">
        <f aca="false">Forward!$B$3</f>
        <v>21870000</v>
      </c>
      <c r="E12" s="21" t="n">
        <f aca="false">MoneyMarket!$B$5</f>
        <v>23331896.210269</v>
      </c>
      <c r="F12" s="21" t="n">
        <f aca="false">MAX(B12,K_PUT)*FC_AMT+FV_PREM_PUT</f>
        <v>23306314.4166667</v>
      </c>
      <c r="G12" s="21" t="n">
        <f aca="false">MIN(B12,K_CALL)*FC_AMT+FV_PREM_CALL</f>
        <v>22512334</v>
      </c>
      <c r="H12" s="21" t="n">
        <f aca="false">D12-C12</f>
        <v>-1830300</v>
      </c>
      <c r="I12" s="21" t="n">
        <f aca="false">E12-C12</f>
        <v>-368403.789731052</v>
      </c>
      <c r="J12" s="21" t="n">
        <f aca="false">F12-C12</f>
        <v>-393985.583333332</v>
      </c>
      <c r="K12" s="12" t="str">
        <f aca="false">INDEX($N$2:$N$5,MATCH(MAX(C12:F12),C12:F12,0))</f>
        <v>No Hedge</v>
      </c>
      <c r="L12" s="12" t="str">
        <f aca="false">INDEX($O$2:$O$4,MATCH(MAX(D12:F12),D12:F12,0))</f>
        <v>Money Market</v>
      </c>
    </row>
    <row r="13" customFormat="false" ht="15" hidden="false" customHeight="false" outlineLevel="0" collapsed="false">
      <c r="A13" s="30" t="n">
        <v>4</v>
      </c>
      <c r="B13" s="24" t="n">
        <f aca="false">S0_in*(1+A13*STEP_FRAC)</f>
        <v>1.19652</v>
      </c>
      <c r="C13" s="21" t="n">
        <f aca="false">B13*FC_AMT</f>
        <v>23930400</v>
      </c>
      <c r="D13" s="21" t="n">
        <f aca="false">Forward!$B$3</f>
        <v>21870000</v>
      </c>
      <c r="E13" s="21" t="n">
        <f aca="false">MoneyMarket!$B$5</f>
        <v>23331896.210269</v>
      </c>
      <c r="F13" s="21" t="n">
        <f aca="false">MAX(B13,K_PUT)*FC_AMT+FV_PREM_PUT</f>
        <v>23536414.4166667</v>
      </c>
      <c r="G13" s="21" t="n">
        <f aca="false">MIN(B13,K_CALL)*FC_AMT+FV_PREM_CALL</f>
        <v>22512334</v>
      </c>
      <c r="H13" s="21" t="n">
        <f aca="false">D13-C13</f>
        <v>-2060400</v>
      </c>
      <c r="I13" s="21" t="n">
        <f aca="false">E13-C13</f>
        <v>-598503.789731048</v>
      </c>
      <c r="J13" s="21" t="n">
        <f aca="false">F13-C13</f>
        <v>-393985.583333332</v>
      </c>
      <c r="K13" s="12" t="str">
        <f aca="false">INDEX($N$2:$N$5,MATCH(MAX(C13:F13),C13:F13,0))</f>
        <v>No Hedge</v>
      </c>
      <c r="L13" s="12" t="str">
        <f aca="false">INDEX($O$2:$O$4,MATCH(MAX(D13:F13),D13:F13,0))</f>
        <v>Option (Put)</v>
      </c>
    </row>
    <row r="14" customFormat="false" ht="15" hidden="false" customHeight="false" outlineLevel="0" collapsed="false">
      <c r="A14" s="30" t="n">
        <v>5</v>
      </c>
      <c r="B14" s="24" t="n">
        <f aca="false">S0_in*(1+A14*STEP_FRAC)</f>
        <v>1.208025</v>
      </c>
      <c r="C14" s="21" t="n">
        <f aca="false">B14*FC_AMT</f>
        <v>24160500</v>
      </c>
      <c r="D14" s="21" t="n">
        <f aca="false">Forward!$B$3</f>
        <v>21870000</v>
      </c>
      <c r="E14" s="21" t="n">
        <f aca="false">MoneyMarket!$B$5</f>
        <v>23331896.210269</v>
      </c>
      <c r="F14" s="21" t="n">
        <f aca="false">MAX(B14,K_PUT)*FC_AMT+FV_PREM_PUT</f>
        <v>23766514.4166667</v>
      </c>
      <c r="G14" s="21" t="n">
        <f aca="false">MIN(B14,K_CALL)*FC_AMT+FV_PREM_CALL</f>
        <v>22512334</v>
      </c>
      <c r="H14" s="21" t="n">
        <f aca="false">D14-C14</f>
        <v>-2290500</v>
      </c>
      <c r="I14" s="21" t="n">
        <f aca="false">E14-C14</f>
        <v>-828603.789731052</v>
      </c>
      <c r="J14" s="21" t="n">
        <f aca="false">F14-C14</f>
        <v>-393985.583333332</v>
      </c>
      <c r="K14" s="12" t="str">
        <f aca="false">INDEX($N$2:$N$5,MATCH(MAX(C14:F14),C14:F14,0))</f>
        <v>No Hedge</v>
      </c>
      <c r="L14" s="12" t="str">
        <f aca="false">INDEX($O$2:$O$4,MATCH(MAX(D14:F14),D14:F14,0))</f>
        <v>Option (Put)</v>
      </c>
    </row>
    <row r="16" customFormat="false" ht="22.35" hidden="false" customHeight="true" outlineLevel="0" collapsed="false">
      <c r="A16" s="7" t="s">
        <v>127</v>
      </c>
      <c r="B16" s="7"/>
      <c r="C16" s="7"/>
      <c r="D16" s="7"/>
      <c r="E16" s="7"/>
      <c r="F16" s="7"/>
      <c r="G16" s="7"/>
      <c r="H16" s="7"/>
    </row>
  </sheetData>
  <mergeCells count="2">
    <mergeCell ref="A1:L1"/>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1" t="s">
        <v>128</v>
      </c>
    </row>
    <row r="3" customFormat="false" ht="31.5" hidden="false" customHeight="true" outlineLevel="0" collapsed="false">
      <c r="A3" s="32" t="s">
        <v>129</v>
      </c>
    </row>
    <row r="5" customFormat="false" ht="31.5" hidden="false" customHeight="true" outlineLevel="0" collapsed="false">
      <c r="A5" s="32" t="s">
        <v>130</v>
      </c>
    </row>
    <row r="7" customFormat="false" ht="31.5" hidden="false" customHeight="true" outlineLevel="0" collapsed="false">
      <c r="A7" s="32" t="s">
        <v>131</v>
      </c>
    </row>
    <row r="9" customFormat="false" ht="31.5" hidden="false" customHeight="true" outlineLevel="0" collapsed="false">
      <c r="A9" s="32" t="s">
        <v>132</v>
      </c>
    </row>
    <row r="11" customFormat="false" ht="31.5" hidden="false" customHeight="true" outlineLevel="0" collapsed="false">
      <c r="A11" s="32" t="s">
        <v>133</v>
      </c>
    </row>
    <row r="13" customFormat="false" ht="31.5" hidden="false" customHeight="true" outlineLevel="0" collapsed="false">
      <c r="A13" s="32" t="s">
        <v>134</v>
      </c>
    </row>
    <row r="15" customFormat="false" ht="31.5" hidden="false" customHeight="true" outlineLevel="0" collapsed="false">
      <c r="A15" s="32" t="s">
        <v>135</v>
      </c>
    </row>
    <row r="17" customFormat="false" ht="31.5" hidden="false" customHeight="true" outlineLevel="0" collapsed="false">
      <c r="A17" s="32" t="s">
        <v>136</v>
      </c>
    </row>
    <row r="19" customFormat="false" ht="31.5" hidden="false" customHeight="true" outlineLevel="0" collapsed="false">
      <c r="A19" s="32" t="s">
        <v>137</v>
      </c>
    </row>
    <row r="21" customFormat="false" ht="31.5" hidden="false" customHeight="true" outlineLevel="0" collapsed="false">
      <c r="A21" s="32"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2026-08-08T08:59:05Z</dcterms:created>
  <dc:creator>openpyxl</dc:creator>
  <dc:description/>
  <dc:language>en-US</dc:language>
  <cp:lastModifiedBy/>
  <dcterms:modified xsi:type="dcterms:W3CDTF">2026-08-08T08:59:07Z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